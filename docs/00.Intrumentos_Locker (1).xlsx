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c6148395-my.sharepoint.com/personal/ialopez_ghifurnaces_com/Documents/LOCKER INSTRUMENTACIÓN/"/>
    </mc:Choice>
  </mc:AlternateContent>
  <xr:revisionPtr revIDLastSave="0" documentId="8_{4C01186B-C8E4-4866-8582-36040C6B93AC}" xr6:coauthVersionLast="47" xr6:coauthVersionMax="47" xr10:uidLastSave="{00000000-0000-0000-0000-000000000000}"/>
  <bookViews>
    <workbookView xWindow="-120" yWindow="-120" windowWidth="29040" windowHeight="15720" xr2:uid="{6D9A3368-9B52-468A-AF50-38BFBF39371F}"/>
  </bookViews>
  <sheets>
    <sheet name="Hoja1" sheetId="1" r:id="rId1"/>
    <sheet name="REGISTRO DE USO " sheetId="2" r:id="rId2"/>
    <sheet name="Hoja2" sheetId="3" r:id="rId3"/>
  </sheets>
  <definedNames>
    <definedName name="_xlnm._FilterDatabase" localSheetId="0" hidden="1">Hoja1!$B$3:$L$35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6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1" i="1"/>
  <c r="L32" i="1"/>
  <c r="L4" i="1"/>
</calcChain>
</file>

<file path=xl/sharedStrings.xml><?xml version="1.0" encoding="utf-8"?>
<sst xmlns="http://schemas.openxmlformats.org/spreadsheetml/2006/main" count="446" uniqueCount="178">
  <si>
    <t>UBICACIÓN</t>
  </si>
  <si>
    <t>CONSIGNA</t>
  </si>
  <si>
    <t>DEPARTAMENTO</t>
  </si>
  <si>
    <t>CODIGO GHI</t>
  </si>
  <si>
    <t xml:space="preserve">DESCRIPCION </t>
  </si>
  <si>
    <t>NUMERO DE SERIE</t>
  </si>
  <si>
    <t>MODELO</t>
  </si>
  <si>
    <t>Fecha calibracion</t>
  </si>
  <si>
    <t>Fecha caducidad</t>
  </si>
  <si>
    <t>EMP (Error máximo permitido)</t>
  </si>
  <si>
    <t>Estado</t>
  </si>
  <si>
    <t>EMPRESA</t>
  </si>
  <si>
    <t>Alvaro saez</t>
  </si>
  <si>
    <t>Consigna - 1</t>
  </si>
  <si>
    <t>PRODUCCION</t>
  </si>
  <si>
    <t>M-001</t>
  </si>
  <si>
    <t>Nivel óptico</t>
  </si>
  <si>
    <t>LEICA NA 730 PLUS</t>
  </si>
  <si>
    <t>±1,2mm/km</t>
  </si>
  <si>
    <t>LEICA</t>
  </si>
  <si>
    <t>LOCKER</t>
  </si>
  <si>
    <t>Consigna - 2</t>
  </si>
  <si>
    <t>C-002</t>
  </si>
  <si>
    <t>Camara Termografica</t>
  </si>
  <si>
    <t>Testo 872</t>
  </si>
  <si>
    <t>TESTO</t>
  </si>
  <si>
    <t>Consigna - 3</t>
  </si>
  <si>
    <t>M-005</t>
  </si>
  <si>
    <t>nivel óptico</t>
  </si>
  <si>
    <t>Consigna - 4</t>
  </si>
  <si>
    <t>Consigna - 5</t>
  </si>
  <si>
    <t>SAT</t>
  </si>
  <si>
    <t>A-003</t>
  </si>
  <si>
    <t xml:space="preserve">Unidad analizadora testo 340 (equipada con O2,CO,NO y NO2)   </t>
  </si>
  <si>
    <t>ANALIZADOR DE GASES TESTO 340 PROFESIONAL</t>
  </si>
  <si>
    <t>O₂: ± 0,4 % ; CO: ± 20 ppm ; 
NO: ± 10 ppm ; NO2: ± 10 ppm</t>
  </si>
  <si>
    <t>Consigna - 6</t>
  </si>
  <si>
    <t>A-004</t>
  </si>
  <si>
    <t>Consigna - 7</t>
  </si>
  <si>
    <t>T-004</t>
  </si>
  <si>
    <t>Calibrador multifunción</t>
  </si>
  <si>
    <t>EXTECH PRC30</t>
  </si>
  <si>
    <t>±0,05%</t>
  </si>
  <si>
    <t>Consigna - 8</t>
  </si>
  <si>
    <t>L-006</t>
  </si>
  <si>
    <t>Pinza amperimetrica 4-20mA</t>
  </si>
  <si>
    <t>6646003WS</t>
  </si>
  <si>
    <t>FLUKE 771</t>
  </si>
  <si>
    <t>-</t>
  </si>
  <si>
    <t>De 0 a 20,99 mA → 0,2% + 2. 
De 21,0 a 100,0 mA → 1% + 5</t>
  </si>
  <si>
    <t>APPLUS</t>
  </si>
  <si>
    <t>Consigna - 9</t>
  </si>
  <si>
    <t>L-004</t>
  </si>
  <si>
    <t>Megger Insulation tester</t>
  </si>
  <si>
    <t>MIT320</t>
  </si>
  <si>
    <t>±3%</t>
  </si>
  <si>
    <t>Consigna - 10</t>
  </si>
  <si>
    <t>L-001</t>
  </si>
  <si>
    <t xml:space="preserve">Pinza amperimetrica 1000A </t>
  </si>
  <si>
    <t>68000810WS</t>
  </si>
  <si>
    <t>FLUKE 376 FC</t>
  </si>
  <si>
    <t>DC hasta 60 A: ± 2,2 % + 10
AC hasta 60 A: ±2,2 % + 12
DC hasta 1000 A: ± 2,0 % + 8
AC hasta 1000A: ±2,2 % + 8</t>
  </si>
  <si>
    <t>Consigna - 11</t>
  </si>
  <si>
    <t>L-010</t>
  </si>
  <si>
    <t>Pinza amperimetrica 1500V</t>
  </si>
  <si>
    <t>59260351WS</t>
  </si>
  <si>
    <t xml:space="preserve">FLUKE 393 </t>
  </si>
  <si>
    <t>AC 10 Hz – 100 Hz : ±2 % + 5
AC 100 Hz – 500 Hz:: ± 2,5 % + 5
DC: ±2 % + 5 dígitos</t>
  </si>
  <si>
    <t>Consigna - 12</t>
  </si>
  <si>
    <t>T-005-1</t>
  </si>
  <si>
    <t>Termómetro con sonda</t>
  </si>
  <si>
    <t>TESTO925  5609250</t>
  </si>
  <si>
    <t>De –40 °C a +900 °C: 0,5 °C + 0,3 %
 +900 °C: 0,7 °C + 0,5 %</t>
  </si>
  <si>
    <t xml:space="preserve">NICO RECOGE PARA ALEMANIA </t>
  </si>
  <si>
    <t>Consigna - 13</t>
  </si>
  <si>
    <t>A-005</t>
  </si>
  <si>
    <t>Analizador de partículas de aceite</t>
  </si>
  <si>
    <t>AMF-20707</t>
  </si>
  <si>
    <t>KLOTZ ABAKUS MOBIL FLIUD</t>
  </si>
  <si>
    <t>±50 particulas/ml</t>
  </si>
  <si>
    <t>KLOTZ</t>
  </si>
  <si>
    <t>Consigna - 14</t>
  </si>
  <si>
    <t>T-100-4</t>
  </si>
  <si>
    <t>Calibrador de procesos y generador de señales</t>
  </si>
  <si>
    <t>RS PRO 135 Thermometer(Calibrator</t>
  </si>
  <si>
    <t>±0,8 °C</t>
  </si>
  <si>
    <t>RS CALIBRATION</t>
  </si>
  <si>
    <t>Consigna - 15</t>
  </si>
  <si>
    <t>S-001</t>
  </si>
  <si>
    <t>Camara Termografica 1</t>
  </si>
  <si>
    <t>± 2 °C</t>
  </si>
  <si>
    <t>Consigna - 16</t>
  </si>
  <si>
    <t>S-003</t>
  </si>
  <si>
    <t>Registrador de temperatura 12 canales</t>
  </si>
  <si>
    <t>H440150</t>
  </si>
  <si>
    <t>PCE - T 1200 "12CH"-C_Logic</t>
  </si>
  <si>
    <t>± 0,4 % de la lectura + 1,0 °C</t>
  </si>
  <si>
    <t>Consigna - 17</t>
  </si>
  <si>
    <t>L-002</t>
  </si>
  <si>
    <t>Comprobador de FASES</t>
  </si>
  <si>
    <t>MARTINDALE PC15250</t>
  </si>
  <si>
    <t>±2 %</t>
  </si>
  <si>
    <t>Consigna - 18</t>
  </si>
  <si>
    <t>S-006</t>
  </si>
  <si>
    <t>Medidor laser de punto de rocio</t>
  </si>
  <si>
    <t>Medidor laser de punto de rocio DP510</t>
  </si>
  <si>
    <t>CS</t>
  </si>
  <si>
    <t>Consigna - 19</t>
  </si>
  <si>
    <t>T-008</t>
  </si>
  <si>
    <t>Cámara térmica</t>
  </si>
  <si>
    <t>Testo 885</t>
  </si>
  <si>
    <t>± 2 % de la lectura + 2 °C</t>
  </si>
  <si>
    <t>XABIER OLALDE</t>
  </si>
  <si>
    <t>Consigna - 20</t>
  </si>
  <si>
    <t>T-003</t>
  </si>
  <si>
    <t>Registrador de temperatura de 12 canales</t>
  </si>
  <si>
    <t>H355297</t>
  </si>
  <si>
    <t>CALIBRANDO</t>
  </si>
  <si>
    <t>Consigna - 21</t>
  </si>
  <si>
    <t>T-001</t>
  </si>
  <si>
    <t>H357529</t>
  </si>
  <si>
    <t>Consigna - 22</t>
  </si>
  <si>
    <t>T-100-1</t>
  </si>
  <si>
    <t>POLONIA</t>
  </si>
  <si>
    <t>Consigna - 23</t>
  </si>
  <si>
    <t>A-012</t>
  </si>
  <si>
    <t xml:space="preserve">DETECTOR DE GASES </t>
  </si>
  <si>
    <t>8323918 ARPE-1198</t>
  </si>
  <si>
    <t>DETECTOR DE GASES DRAGER X-AM 2500 4 GASES</t>
  </si>
  <si>
    <t xml:space="preserve">O₂: ± 0,2 % ; CO: ± 4 ppm ; 
H2S: ± 2 ppm </t>
  </si>
  <si>
    <t>DRÄGER</t>
  </si>
  <si>
    <t>Consigna - 24</t>
  </si>
  <si>
    <t>M-020</t>
  </si>
  <si>
    <t>medidor de presion diferencia 0-2 bar</t>
  </si>
  <si>
    <t>TESTO512</t>
  </si>
  <si>
    <t xml:space="preserve"> ± 0,3 Pa + 1 % del valor medido</t>
  </si>
  <si>
    <t>Consigna - 25</t>
  </si>
  <si>
    <t>S-002</t>
  </si>
  <si>
    <t>Camara Termografica 2</t>
  </si>
  <si>
    <t>±4 °C</t>
  </si>
  <si>
    <t>Consigna - 26</t>
  </si>
  <si>
    <t>L-005</t>
  </si>
  <si>
    <t>Comprobador de Aislamiento</t>
  </si>
  <si>
    <t>43160491WS</t>
  </si>
  <si>
    <t>FLUKE 1507</t>
  </si>
  <si>
    <t>50 V: ±3 % + 5  ; 500 V: ± 1,5 % + 5</t>
  </si>
  <si>
    <t>Consigna - 27</t>
  </si>
  <si>
    <t>M-017</t>
  </si>
  <si>
    <t>Sonómetro</t>
  </si>
  <si>
    <t>PEAKTECH 8005</t>
  </si>
  <si>
    <t>Consigna - 28</t>
  </si>
  <si>
    <t>T-007</t>
  </si>
  <si>
    <t xml:space="preserve">Pistola temperatura infraroja </t>
  </si>
  <si>
    <t>FLUKE 561</t>
  </si>
  <si>
    <t>±1°C</t>
  </si>
  <si>
    <t>Consigna - 29</t>
  </si>
  <si>
    <t>T-017</t>
  </si>
  <si>
    <t>RSPRO 135 Thermometer (Clibrator)</t>
  </si>
  <si>
    <t>Consigna - 30</t>
  </si>
  <si>
    <t>D-002</t>
  </si>
  <si>
    <t>Boroscopio</t>
  </si>
  <si>
    <t>Consigna - 31</t>
  </si>
  <si>
    <t>E-002</t>
  </si>
  <si>
    <t>Indicador de dial x2 y base</t>
  </si>
  <si>
    <t>Insize/Mitutoyo</t>
  </si>
  <si>
    <t>Consigna - 32</t>
  </si>
  <si>
    <t>D-001</t>
  </si>
  <si>
    <t>Atornillador dinanométrico</t>
  </si>
  <si>
    <t>EA 10.00047</t>
  </si>
  <si>
    <t>LDA-40 Solution</t>
  </si>
  <si>
    <t>CALIBRADO</t>
  </si>
  <si>
    <t>GEDORE</t>
  </si>
  <si>
    <t>EXTRACCIÓN</t>
  </si>
  <si>
    <t>VERDE</t>
  </si>
  <si>
    <t>DEVOLUCIÓN</t>
  </si>
  <si>
    <t>ROJO</t>
  </si>
  <si>
    <t>IKER LASSO</t>
  </si>
  <si>
    <t>E-001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</si>
</sst>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"/>
      <family val="2"/>
    </font>
    <font>
      <b/>
      <sz val="11"/>
      <color rgb="FFFF0000"/>
      <name val="Aptos Narrow"/>
      <family val="2"/>
      <scheme val="minor"/>
    </font>
    <font>
      <b/>
      <sz val="11"/>
      <color theme="9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4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14" fontId="0" fillId="0" borderId="0" xfId="0" applyNumberFormat="1"/>
    <xf numFmtId="0" fontId="3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4" fontId="0" fillId="7" borderId="1" xfId="0" applyNumberFormat="1" applyFill="1" applyBorder="1" applyAlignment="1">
      <alignment horizontal="center" vertical="center"/>
    </xf>
    <xf numFmtId="0" fontId="5" fillId="0" borderId="0" xfId="1" applyFill="1"/>
    <xf numFmtId="0" fontId="0" fillId="0" borderId="0" xfId="0" applyAlignment="1">
      <alignment horizontal="center" wrapText="1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7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10">
    <dxf>
      <fill>
        <patternFill>
          <bgColor theme="9" tint="0.39994506668294322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66"/>
        </patternFill>
      </fill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86C0B-3B6B-4020-9A7A-B94560321214}">
  <dimension ref="B3:O76"/>
  <sheetViews>
    <sheetView tabSelected="1" zoomScale="70" zoomScaleNormal="70" workbookViewId="0">
      <selection activeCell="G32" sqref="G32"/>
    </sheetView>
  </sheetViews>
  <sheetFormatPr baseColWidth="10" defaultColWidth="11.42578125" defaultRowHeight="15" x14ac:dyDescent="0.25"/>
  <cols>
    <col min="1" max="1" width="31.140625" customWidth="1"/>
    <col min="2" max="2" width="38.5703125" bestFit="1" customWidth="1"/>
    <col min="3" max="3" width="14.7109375" customWidth="1"/>
    <col min="4" max="5" width="19.7109375" customWidth="1"/>
    <col min="6" max="6" width="50.5703125" customWidth="1"/>
    <col min="7" max="7" width="30.5703125" customWidth="1"/>
    <col min="8" max="8" width="53.42578125" bestFit="1" customWidth="1"/>
    <col min="9" max="9" width="28.85546875" bestFit="1" customWidth="1"/>
    <col min="10" max="10" width="28.28515625" bestFit="1" customWidth="1"/>
    <col min="11" max="11" width="41.140625" bestFit="1" customWidth="1"/>
    <col min="12" max="12" width="18.42578125" customWidth="1"/>
    <col min="13" max="13" width="22.140625" bestFit="1" customWidth="1"/>
    <col min="14" max="14" width="95.140625" customWidth="1"/>
    <col min="16" max="16" width="17.5703125" customWidth="1"/>
  </cols>
  <sheetData>
    <row r="3" spans="2:14" x14ac:dyDescent="0.25">
      <c r="B3" s="13" t="s">
        <v>0</v>
      </c>
      <c r="C3" s="13" t="s">
        <v>1</v>
      </c>
      <c r="D3" s="13" t="s">
        <v>2</v>
      </c>
      <c r="E3" s="13" t="s">
        <v>3</v>
      </c>
      <c r="F3" s="13" t="s">
        <v>4</v>
      </c>
      <c r="G3" s="13" t="s">
        <v>5</v>
      </c>
      <c r="H3" s="13" t="s">
        <v>6</v>
      </c>
      <c r="I3" s="13" t="s">
        <v>7</v>
      </c>
      <c r="J3" s="13" t="s">
        <v>8</v>
      </c>
      <c r="K3" s="13" t="s">
        <v>9</v>
      </c>
      <c r="L3" s="13" t="s">
        <v>10</v>
      </c>
      <c r="M3" s="13" t="s">
        <v>11</v>
      </c>
      <c r="N3" s="6"/>
    </row>
    <row r="4" spans="2:14" x14ac:dyDescent="0.25">
      <c r="B4" s="12" t="s">
        <v>12</v>
      </c>
      <c r="C4" s="12" t="s">
        <v>13</v>
      </c>
      <c r="D4" s="12" t="s">
        <v>14</v>
      </c>
      <c r="E4" s="12" t="s">
        <v>15</v>
      </c>
      <c r="F4" s="22" t="s">
        <v>16</v>
      </c>
      <c r="G4" s="12">
        <v>2201660</v>
      </c>
      <c r="H4" s="12" t="s">
        <v>17</v>
      </c>
      <c r="I4" s="23">
        <v>45114</v>
      </c>
      <c r="J4" s="23">
        <v>45845</v>
      </c>
      <c r="K4" s="23" t="s">
        <v>18</v>
      </c>
      <c r="L4" s="12" t="str">
        <f ca="1">IF(J4&lt;TODAY(), "CADUCADO","CALIBRADO")</f>
        <v>CADUCADO</v>
      </c>
      <c r="M4" s="3" t="s">
        <v>19</v>
      </c>
      <c r="N4" s="15"/>
    </row>
    <row r="5" spans="2:14" x14ac:dyDescent="0.25">
      <c r="B5" s="12" t="s">
        <v>20</v>
      </c>
      <c r="C5" s="12" t="s">
        <v>21</v>
      </c>
      <c r="D5" s="12" t="s">
        <v>14</v>
      </c>
      <c r="E5" s="12" t="s">
        <v>22</v>
      </c>
      <c r="F5" s="22" t="s">
        <v>23</v>
      </c>
      <c r="G5" s="12">
        <v>62826812</v>
      </c>
      <c r="H5" s="12" t="s">
        <v>24</v>
      </c>
      <c r="I5" s="23">
        <v>45959</v>
      </c>
      <c r="J5" s="23">
        <v>46324</v>
      </c>
      <c r="K5" s="23"/>
      <c r="L5" s="17" t="str">
        <f ca="1">IF(J5&lt;TODAY(), "CADUCADO","CALIBRADO")</f>
        <v>CALIBRADO</v>
      </c>
      <c r="M5" s="17" t="s">
        <v>25</v>
      </c>
    </row>
    <row r="6" spans="2:14" x14ac:dyDescent="0.25">
      <c r="B6" s="12" t="s">
        <v>20</v>
      </c>
      <c r="C6" s="12" t="s">
        <v>26</v>
      </c>
      <c r="D6" s="12" t="s">
        <v>14</v>
      </c>
      <c r="E6" s="12" t="s">
        <v>27</v>
      </c>
      <c r="F6" s="22" t="s">
        <v>28</v>
      </c>
      <c r="G6" s="12">
        <v>5718201</v>
      </c>
      <c r="H6" s="12" t="s">
        <v>17</v>
      </c>
      <c r="I6" s="23">
        <v>45777</v>
      </c>
      <c r="J6" s="23">
        <v>46142</v>
      </c>
      <c r="K6" s="23" t="s">
        <v>18</v>
      </c>
      <c r="L6" s="12" t="str">
        <f ca="1">IF(J6&lt;TODAY(), "CADUCADO","CALIBRADO")</f>
        <v>CALIBRADO</v>
      </c>
      <c r="M6" s="3" t="s">
        <v>19</v>
      </c>
    </row>
    <row r="7" spans="2:14" ht="42.75" customHeight="1" x14ac:dyDescent="0.25">
      <c r="B7" s="12" t="s">
        <v>20</v>
      </c>
      <c r="C7" s="12" t="s">
        <v>29</v>
      </c>
      <c r="D7" s="12" t="s">
        <v>14</v>
      </c>
      <c r="E7" s="12"/>
      <c r="F7" s="22" t="s">
        <v>16</v>
      </c>
      <c r="G7" s="12"/>
      <c r="H7" s="12"/>
      <c r="I7" s="23"/>
      <c r="J7" s="23"/>
      <c r="K7" s="23"/>
      <c r="L7" s="12"/>
      <c r="M7" s="12"/>
    </row>
    <row r="8" spans="2:14" ht="30" x14ac:dyDescent="0.25">
      <c r="B8" s="12" t="s">
        <v>20</v>
      </c>
      <c r="C8" s="12" t="s">
        <v>30</v>
      </c>
      <c r="D8" s="12" t="s">
        <v>31</v>
      </c>
      <c r="E8" s="12" t="s">
        <v>32</v>
      </c>
      <c r="F8" s="22" t="s">
        <v>33</v>
      </c>
      <c r="G8" s="12">
        <v>61186226</v>
      </c>
      <c r="H8" s="12" t="s">
        <v>34</v>
      </c>
      <c r="I8" s="23">
        <v>45965</v>
      </c>
      <c r="J8" s="23">
        <v>46330</v>
      </c>
      <c r="K8" s="24" t="s">
        <v>35</v>
      </c>
      <c r="L8" s="17" t="str">
        <f t="shared" ref="L8:L32" ca="1" si="0">IF(J8&lt;TODAY(), "CADUCADO","CALIBRADO")</f>
        <v>CALIBRADO</v>
      </c>
      <c r="M8" s="17" t="s">
        <v>25</v>
      </c>
      <c r="N8" s="15"/>
    </row>
    <row r="9" spans="2:14" ht="30" x14ac:dyDescent="0.25">
      <c r="B9" s="12" t="s">
        <v>20</v>
      </c>
      <c r="C9" s="12" t="s">
        <v>36</v>
      </c>
      <c r="D9" s="12" t="s">
        <v>31</v>
      </c>
      <c r="E9" s="12" t="s">
        <v>37</v>
      </c>
      <c r="F9" s="22" t="s">
        <v>33</v>
      </c>
      <c r="G9" s="12">
        <v>62370623</v>
      </c>
      <c r="H9" s="12" t="s">
        <v>34</v>
      </c>
      <c r="I9" s="23">
        <v>45972</v>
      </c>
      <c r="J9" s="23">
        <v>46337</v>
      </c>
      <c r="K9" s="24" t="s">
        <v>35</v>
      </c>
      <c r="L9" s="17" t="str">
        <f t="shared" ca="1" si="0"/>
        <v>CALIBRADO</v>
      </c>
      <c r="M9" s="17" t="s">
        <v>25</v>
      </c>
    </row>
    <row r="10" spans="2:14" ht="15.6" customHeight="1" x14ac:dyDescent="0.25">
      <c r="B10" s="12" t="s">
        <v>20</v>
      </c>
      <c r="C10" s="12" t="s">
        <v>38</v>
      </c>
      <c r="D10" s="12" t="s">
        <v>14</v>
      </c>
      <c r="E10" s="12" t="s">
        <v>39</v>
      </c>
      <c r="F10" s="22" t="s">
        <v>40</v>
      </c>
      <c r="G10" s="12">
        <v>15549</v>
      </c>
      <c r="H10" s="12" t="s">
        <v>41</v>
      </c>
      <c r="I10" s="23">
        <v>45964</v>
      </c>
      <c r="J10" s="23">
        <v>46329</v>
      </c>
      <c r="K10" s="23" t="s">
        <v>42</v>
      </c>
      <c r="L10" s="17" t="str">
        <f t="shared" ca="1" si="0"/>
        <v>CALIBRADO</v>
      </c>
      <c r="M10" s="17" t="s">
        <v>25</v>
      </c>
    </row>
    <row r="11" spans="2:14" ht="30" x14ac:dyDescent="0.25">
      <c r="B11" s="12" t="s">
        <v>20</v>
      </c>
      <c r="C11" s="12" t="s">
        <v>43</v>
      </c>
      <c r="D11" s="12" t="s">
        <v>14</v>
      </c>
      <c r="E11" s="12" t="s">
        <v>44</v>
      </c>
      <c r="F11" s="22" t="s">
        <v>45</v>
      </c>
      <c r="G11" s="12" t="s">
        <v>46</v>
      </c>
      <c r="H11" s="12" t="s">
        <v>47</v>
      </c>
      <c r="I11" s="12" t="s">
        <v>48</v>
      </c>
      <c r="J11" s="23">
        <v>46327</v>
      </c>
      <c r="K11" s="25" t="s">
        <v>49</v>
      </c>
      <c r="L11" s="12" t="str">
        <f t="shared" ca="1" si="0"/>
        <v>CALIBRADO</v>
      </c>
      <c r="M11" s="2" t="s">
        <v>50</v>
      </c>
    </row>
    <row r="12" spans="2:14" x14ac:dyDescent="0.25">
      <c r="B12" s="12" t="s">
        <v>20</v>
      </c>
      <c r="C12" s="12" t="s">
        <v>51</v>
      </c>
      <c r="D12" s="12" t="s">
        <v>14</v>
      </c>
      <c r="E12" s="12" t="s">
        <v>52</v>
      </c>
      <c r="F12" s="22" t="s">
        <v>53</v>
      </c>
      <c r="G12" s="12">
        <v>102465739</v>
      </c>
      <c r="H12" s="12" t="s">
        <v>54</v>
      </c>
      <c r="I12" s="23">
        <v>45722</v>
      </c>
      <c r="J12" s="23">
        <v>46087</v>
      </c>
      <c r="K12" s="23" t="s">
        <v>55</v>
      </c>
      <c r="L12" s="17" t="str">
        <f t="shared" ca="1" si="0"/>
        <v>CALIBRADO</v>
      </c>
      <c r="M12" s="17" t="s">
        <v>25</v>
      </c>
    </row>
    <row r="13" spans="2:14" ht="60" x14ac:dyDescent="0.25">
      <c r="B13" s="12" t="s">
        <v>20</v>
      </c>
      <c r="C13" s="12" t="s">
        <v>56</v>
      </c>
      <c r="D13" s="12" t="s">
        <v>14</v>
      </c>
      <c r="E13" s="12" t="s">
        <v>57</v>
      </c>
      <c r="F13" s="22" t="s">
        <v>58</v>
      </c>
      <c r="G13" s="12" t="s">
        <v>59</v>
      </c>
      <c r="H13" s="12" t="s">
        <v>60</v>
      </c>
      <c r="I13" s="12" t="s">
        <v>48</v>
      </c>
      <c r="J13" s="23">
        <v>46327</v>
      </c>
      <c r="K13" s="25" t="s">
        <v>61</v>
      </c>
      <c r="L13" s="12" t="str">
        <f t="shared" ca="1" si="0"/>
        <v>CALIBRADO</v>
      </c>
      <c r="M13" s="2" t="s">
        <v>50</v>
      </c>
    </row>
    <row r="14" spans="2:14" ht="45" x14ac:dyDescent="0.25">
      <c r="B14" s="12" t="s">
        <v>20</v>
      </c>
      <c r="C14" s="12" t="s">
        <v>62</v>
      </c>
      <c r="D14" s="12" t="s">
        <v>14</v>
      </c>
      <c r="E14" s="12" t="s">
        <v>63</v>
      </c>
      <c r="F14" s="22" t="s">
        <v>64</v>
      </c>
      <c r="G14" s="12" t="s">
        <v>65</v>
      </c>
      <c r="H14" s="12" t="s">
        <v>66</v>
      </c>
      <c r="I14" s="12" t="s">
        <v>48</v>
      </c>
      <c r="J14" s="23">
        <v>46327</v>
      </c>
      <c r="K14" s="25" t="s">
        <v>67</v>
      </c>
      <c r="L14" s="12" t="str">
        <f t="shared" ca="1" si="0"/>
        <v>CALIBRADO</v>
      </c>
      <c r="M14" s="2" t="s">
        <v>50</v>
      </c>
    </row>
    <row r="15" spans="2:14" ht="30.75" customHeight="1" x14ac:dyDescent="0.25">
      <c r="B15" s="12" t="s">
        <v>20</v>
      </c>
      <c r="C15" s="12" t="s">
        <v>68</v>
      </c>
      <c r="D15" s="12" t="s">
        <v>14</v>
      </c>
      <c r="E15" s="12" t="s">
        <v>69</v>
      </c>
      <c r="F15" s="22" t="s">
        <v>70</v>
      </c>
      <c r="G15" s="12">
        <v>347608073</v>
      </c>
      <c r="H15" s="22" t="s">
        <v>71</v>
      </c>
      <c r="I15" s="23">
        <v>45966</v>
      </c>
      <c r="J15" s="23">
        <v>46331</v>
      </c>
      <c r="K15" s="25" t="s">
        <v>72</v>
      </c>
      <c r="L15" s="17" t="str">
        <f t="shared" ca="1" si="0"/>
        <v>CALIBRADO</v>
      </c>
      <c r="M15" s="17" t="s">
        <v>25</v>
      </c>
    </row>
    <row r="16" spans="2:14" x14ac:dyDescent="0.25">
      <c r="B16" s="12" t="s">
        <v>73</v>
      </c>
      <c r="C16" s="12" t="s">
        <v>74</v>
      </c>
      <c r="D16" s="12" t="s">
        <v>14</v>
      </c>
      <c r="E16" s="12" t="s">
        <v>75</v>
      </c>
      <c r="F16" s="22" t="s">
        <v>76</v>
      </c>
      <c r="G16" s="12" t="s">
        <v>77</v>
      </c>
      <c r="H16" s="12" t="s">
        <v>78</v>
      </c>
      <c r="I16" s="23">
        <v>45597</v>
      </c>
      <c r="J16" s="23">
        <v>46112</v>
      </c>
      <c r="K16" s="23" t="s">
        <v>79</v>
      </c>
      <c r="L16" s="4" t="str">
        <f t="shared" ca="1" si="0"/>
        <v>CALIBRADO</v>
      </c>
      <c r="M16" s="4" t="s">
        <v>80</v>
      </c>
    </row>
    <row r="17" spans="2:15" x14ac:dyDescent="0.25">
      <c r="B17" s="12" t="s">
        <v>20</v>
      </c>
      <c r="C17" s="12" t="s">
        <v>81</v>
      </c>
      <c r="D17" s="12" t="s">
        <v>14</v>
      </c>
      <c r="E17" s="12" t="s">
        <v>82</v>
      </c>
      <c r="F17" s="22" t="s">
        <v>83</v>
      </c>
      <c r="G17" s="12">
        <v>22120786</v>
      </c>
      <c r="H17" s="12" t="s">
        <v>84</v>
      </c>
      <c r="I17" s="23">
        <v>45960</v>
      </c>
      <c r="J17" s="23">
        <v>46325</v>
      </c>
      <c r="K17" s="23" t="s">
        <v>85</v>
      </c>
      <c r="L17" s="5" t="str">
        <f t="shared" ca="1" si="0"/>
        <v>CALIBRADO</v>
      </c>
      <c r="M17" s="5" t="s">
        <v>86</v>
      </c>
      <c r="N17" s="15"/>
      <c r="O17" s="16"/>
    </row>
    <row r="18" spans="2:15" x14ac:dyDescent="0.25">
      <c r="B18" s="12" t="s">
        <v>20</v>
      </c>
      <c r="C18" s="12" t="s">
        <v>87</v>
      </c>
      <c r="D18" s="12" t="s">
        <v>31</v>
      </c>
      <c r="E18" s="12" t="s">
        <v>88</v>
      </c>
      <c r="F18" s="22" t="s">
        <v>89</v>
      </c>
      <c r="G18" s="12">
        <v>62813457</v>
      </c>
      <c r="H18" s="12" t="s">
        <v>24</v>
      </c>
      <c r="I18" s="23">
        <v>45965</v>
      </c>
      <c r="J18" s="23">
        <v>46330</v>
      </c>
      <c r="K18" s="12" t="s">
        <v>90</v>
      </c>
      <c r="L18" s="17" t="str">
        <f t="shared" ca="1" si="0"/>
        <v>CALIBRADO</v>
      </c>
      <c r="M18" s="17" t="s">
        <v>25</v>
      </c>
    </row>
    <row r="19" spans="2:15" x14ac:dyDescent="0.25">
      <c r="B19" s="12" t="s">
        <v>20</v>
      </c>
      <c r="C19" s="12" t="s">
        <v>91</v>
      </c>
      <c r="D19" s="12" t="s">
        <v>31</v>
      </c>
      <c r="E19" s="12" t="s">
        <v>92</v>
      </c>
      <c r="F19" s="22" t="s">
        <v>93</v>
      </c>
      <c r="G19" s="12" t="s">
        <v>94</v>
      </c>
      <c r="H19" s="12" t="s">
        <v>95</v>
      </c>
      <c r="I19" s="30">
        <v>46014</v>
      </c>
      <c r="J19" s="30">
        <v>46379</v>
      </c>
      <c r="K19" s="23" t="s">
        <v>96</v>
      </c>
      <c r="L19" s="17" t="str">
        <f t="shared" ca="1" si="0"/>
        <v>CALIBRADO</v>
      </c>
      <c r="M19" s="17" t="s">
        <v>25</v>
      </c>
      <c r="N19" s="15"/>
    </row>
    <row r="20" spans="2:15" x14ac:dyDescent="0.25">
      <c r="B20" s="12" t="s">
        <v>20</v>
      </c>
      <c r="C20" s="12" t="s">
        <v>97</v>
      </c>
      <c r="D20" s="12" t="s">
        <v>14</v>
      </c>
      <c r="E20" s="12" t="s">
        <v>98</v>
      </c>
      <c r="F20" s="22" t="s">
        <v>99</v>
      </c>
      <c r="G20" s="12">
        <v>2841046423</v>
      </c>
      <c r="H20" s="12" t="s">
        <v>100</v>
      </c>
      <c r="I20" s="23">
        <v>45960</v>
      </c>
      <c r="J20" s="23">
        <v>46325</v>
      </c>
      <c r="K20" s="23" t="s">
        <v>101</v>
      </c>
      <c r="L20" s="5" t="str">
        <f t="shared" ca="1" si="0"/>
        <v>CALIBRADO</v>
      </c>
      <c r="M20" s="5" t="s">
        <v>86</v>
      </c>
      <c r="N20" s="15"/>
    </row>
    <row r="21" spans="2:15" x14ac:dyDescent="0.25">
      <c r="B21" s="12" t="s">
        <v>20</v>
      </c>
      <c r="C21" s="12" t="s">
        <v>102</v>
      </c>
      <c r="D21" s="12" t="s">
        <v>31</v>
      </c>
      <c r="E21" s="12" t="s">
        <v>103</v>
      </c>
      <c r="F21" s="22" t="s">
        <v>104</v>
      </c>
      <c r="G21" s="12">
        <v>45174428</v>
      </c>
      <c r="H21" s="12" t="s">
        <v>105</v>
      </c>
      <c r="I21" s="23">
        <v>45954</v>
      </c>
      <c r="J21" s="23">
        <v>46319</v>
      </c>
      <c r="K21" s="12" t="s">
        <v>90</v>
      </c>
      <c r="L21" s="1" t="str">
        <f t="shared" ca="1" si="0"/>
        <v>CALIBRADO</v>
      </c>
      <c r="M21" s="1" t="s">
        <v>106</v>
      </c>
      <c r="N21" s="15"/>
    </row>
    <row r="22" spans="2:15" x14ac:dyDescent="0.25">
      <c r="B22" s="12" t="s">
        <v>20</v>
      </c>
      <c r="C22" s="12" t="s">
        <v>107</v>
      </c>
      <c r="D22" s="12" t="s">
        <v>14</v>
      </c>
      <c r="E22" s="12" t="s">
        <v>108</v>
      </c>
      <c r="F22" s="22" t="s">
        <v>109</v>
      </c>
      <c r="G22" s="12">
        <v>5630885</v>
      </c>
      <c r="H22" s="22" t="s">
        <v>110</v>
      </c>
      <c r="I22" s="23">
        <v>45608</v>
      </c>
      <c r="J22" s="23">
        <v>45973</v>
      </c>
      <c r="K22" s="23" t="s">
        <v>111</v>
      </c>
      <c r="L22" s="17" t="str">
        <f t="shared" ca="1" si="0"/>
        <v>CADUCADO</v>
      </c>
      <c r="M22" s="17" t="s">
        <v>25</v>
      </c>
    </row>
    <row r="23" spans="2:15" x14ac:dyDescent="0.25">
      <c r="B23" s="12" t="s">
        <v>112</v>
      </c>
      <c r="C23" s="12" t="s">
        <v>113</v>
      </c>
      <c r="D23" s="12" t="s">
        <v>14</v>
      </c>
      <c r="E23" s="12" t="s">
        <v>114</v>
      </c>
      <c r="F23" s="22" t="s">
        <v>115</v>
      </c>
      <c r="G23" s="26" t="s">
        <v>116</v>
      </c>
      <c r="H23" s="12" t="s">
        <v>95</v>
      </c>
      <c r="I23" s="30">
        <v>46014</v>
      </c>
      <c r="J23" s="30">
        <v>46379</v>
      </c>
      <c r="K23" s="23" t="s">
        <v>96</v>
      </c>
      <c r="L23" s="17" t="str">
        <f t="shared" ca="1" si="0"/>
        <v>CALIBRADO</v>
      </c>
      <c r="M23" s="17" t="s">
        <v>25</v>
      </c>
    </row>
    <row r="24" spans="2:15" x14ac:dyDescent="0.25">
      <c r="B24" s="12" t="s">
        <v>117</v>
      </c>
      <c r="C24" s="12" t="s">
        <v>118</v>
      </c>
      <c r="D24" s="12" t="s">
        <v>14</v>
      </c>
      <c r="E24" s="12" t="s">
        <v>119</v>
      </c>
      <c r="F24" s="22" t="s">
        <v>115</v>
      </c>
      <c r="G24" s="12" t="s">
        <v>120</v>
      </c>
      <c r="H24" s="22" t="s">
        <v>95</v>
      </c>
      <c r="I24" s="23">
        <v>45251</v>
      </c>
      <c r="J24" s="23">
        <v>45982</v>
      </c>
      <c r="K24" s="23" t="s">
        <v>96</v>
      </c>
      <c r="L24" s="17" t="str">
        <f t="shared" ca="1" si="0"/>
        <v>CADUCADO</v>
      </c>
      <c r="M24" s="17" t="s">
        <v>25</v>
      </c>
    </row>
    <row r="25" spans="2:15" ht="30" x14ac:dyDescent="0.25">
      <c r="B25" s="12" t="s">
        <v>20</v>
      </c>
      <c r="C25" s="12" t="s">
        <v>121</v>
      </c>
      <c r="D25" s="12" t="s">
        <v>14</v>
      </c>
      <c r="E25" s="12" t="s">
        <v>122</v>
      </c>
      <c r="F25" s="22" t="s">
        <v>33</v>
      </c>
      <c r="G25" s="12">
        <v>63862113</v>
      </c>
      <c r="H25" s="22" t="s">
        <v>34</v>
      </c>
      <c r="I25" s="23">
        <v>45965</v>
      </c>
      <c r="J25" s="23">
        <v>46330</v>
      </c>
      <c r="K25" s="24" t="s">
        <v>35</v>
      </c>
      <c r="L25" s="17" t="str">
        <f t="shared" ca="1" si="0"/>
        <v>CALIBRADO</v>
      </c>
      <c r="M25" s="17" t="s">
        <v>25</v>
      </c>
    </row>
    <row r="26" spans="2:15" ht="30" x14ac:dyDescent="0.25">
      <c r="B26" s="12" t="s">
        <v>123</v>
      </c>
      <c r="C26" s="26" t="s">
        <v>124</v>
      </c>
      <c r="D26" s="26" t="s">
        <v>14</v>
      </c>
      <c r="E26" s="26" t="s">
        <v>125</v>
      </c>
      <c r="F26" s="27" t="s">
        <v>126</v>
      </c>
      <c r="G26" s="26" t="s">
        <v>127</v>
      </c>
      <c r="H26" s="26" t="s">
        <v>128</v>
      </c>
      <c r="I26" s="28">
        <v>45442</v>
      </c>
      <c r="J26" s="28">
        <v>46172</v>
      </c>
      <c r="K26" s="24" t="s">
        <v>129</v>
      </c>
      <c r="L26" s="19" t="str">
        <f t="shared" ca="1" si="0"/>
        <v>CALIBRADO</v>
      </c>
      <c r="M26" s="19" t="s">
        <v>130</v>
      </c>
    </row>
    <row r="27" spans="2:15" x14ac:dyDescent="0.25">
      <c r="B27" s="12" t="s">
        <v>20</v>
      </c>
      <c r="C27" s="12" t="s">
        <v>131</v>
      </c>
      <c r="D27" s="12" t="s">
        <v>14</v>
      </c>
      <c r="E27" s="12" t="s">
        <v>132</v>
      </c>
      <c r="F27" s="22" t="s">
        <v>133</v>
      </c>
      <c r="G27" s="12">
        <v>5605128</v>
      </c>
      <c r="H27" s="22" t="s">
        <v>134</v>
      </c>
      <c r="I27" s="23">
        <v>45966</v>
      </c>
      <c r="J27" s="23">
        <v>46331</v>
      </c>
      <c r="K27" s="23" t="s">
        <v>135</v>
      </c>
      <c r="L27" s="17" t="str">
        <f t="shared" ca="1" si="0"/>
        <v>CALIBRADO</v>
      </c>
      <c r="M27" s="17" t="s">
        <v>25</v>
      </c>
    </row>
    <row r="28" spans="2:15" x14ac:dyDescent="0.25">
      <c r="B28" s="12" t="s">
        <v>20</v>
      </c>
      <c r="C28" s="12" t="s">
        <v>136</v>
      </c>
      <c r="D28" s="12" t="s">
        <v>31</v>
      </c>
      <c r="E28" s="12" t="s">
        <v>137</v>
      </c>
      <c r="F28" s="22" t="s">
        <v>138</v>
      </c>
      <c r="G28" s="12">
        <v>62826812</v>
      </c>
      <c r="H28" s="12" t="s">
        <v>24</v>
      </c>
      <c r="I28" s="23">
        <v>45965</v>
      </c>
      <c r="J28" s="23">
        <v>46330</v>
      </c>
      <c r="K28" s="12" t="s">
        <v>139</v>
      </c>
      <c r="L28" s="17" t="str">
        <f t="shared" ca="1" si="0"/>
        <v>CALIBRADO</v>
      </c>
      <c r="M28" s="17" t="s">
        <v>25</v>
      </c>
    </row>
    <row r="29" spans="2:15" x14ac:dyDescent="0.25">
      <c r="B29" s="12" t="s">
        <v>20</v>
      </c>
      <c r="C29" s="12" t="s">
        <v>140</v>
      </c>
      <c r="D29" s="12" t="s">
        <v>14</v>
      </c>
      <c r="E29" s="12" t="s">
        <v>141</v>
      </c>
      <c r="F29" s="22" t="s">
        <v>142</v>
      </c>
      <c r="G29" s="12" t="s">
        <v>143</v>
      </c>
      <c r="H29" s="12" t="s">
        <v>144</v>
      </c>
      <c r="I29" s="23">
        <v>45722</v>
      </c>
      <c r="J29" s="23">
        <v>46087</v>
      </c>
      <c r="K29" s="23" t="s">
        <v>145</v>
      </c>
      <c r="L29" s="17" t="str">
        <f t="shared" ca="1" si="0"/>
        <v>CALIBRADO</v>
      </c>
      <c r="M29" s="17" t="s">
        <v>25</v>
      </c>
    </row>
    <row r="30" spans="2:15" x14ac:dyDescent="0.25">
      <c r="B30" s="26"/>
      <c r="C30" s="26" t="s">
        <v>146</v>
      </c>
      <c r="D30" s="26" t="s">
        <v>14</v>
      </c>
      <c r="E30" s="26" t="s">
        <v>147</v>
      </c>
      <c r="F30" s="27" t="s">
        <v>148</v>
      </c>
      <c r="G30" s="26">
        <v>230723323</v>
      </c>
      <c r="H30" s="27" t="s">
        <v>149</v>
      </c>
      <c r="I30" s="28"/>
      <c r="J30" s="28"/>
      <c r="K30" s="28"/>
      <c r="L30" s="12"/>
      <c r="M30" s="12"/>
    </row>
    <row r="31" spans="2:15" x14ac:dyDescent="0.25">
      <c r="B31" s="12" t="s">
        <v>20</v>
      </c>
      <c r="C31" s="12" t="s">
        <v>150</v>
      </c>
      <c r="D31" s="12" t="s">
        <v>14</v>
      </c>
      <c r="E31" s="12" t="s">
        <v>151</v>
      </c>
      <c r="F31" s="22" t="s">
        <v>152</v>
      </c>
      <c r="G31" s="12">
        <v>2559389</v>
      </c>
      <c r="H31" s="12" t="s">
        <v>153</v>
      </c>
      <c r="I31" s="12" t="s">
        <v>48</v>
      </c>
      <c r="J31" s="23"/>
      <c r="K31" s="23" t="s">
        <v>154</v>
      </c>
      <c r="L31" s="12" t="str">
        <f ca="1">IF(J31&lt;TODAY(), "CADUCADO","CALIBRADO")</f>
        <v>CADUCADO</v>
      </c>
      <c r="M31" s="2" t="s">
        <v>50</v>
      </c>
    </row>
    <row r="32" spans="2:15" x14ac:dyDescent="0.25">
      <c r="B32" s="12" t="s">
        <v>123</v>
      </c>
      <c r="C32" s="12" t="s">
        <v>155</v>
      </c>
      <c r="D32" s="12" t="s">
        <v>14</v>
      </c>
      <c r="E32" s="12" t="s">
        <v>156</v>
      </c>
      <c r="F32" s="22" t="s">
        <v>83</v>
      </c>
      <c r="G32" s="12">
        <v>23200551</v>
      </c>
      <c r="H32" s="12" t="s">
        <v>157</v>
      </c>
      <c r="I32" s="23">
        <v>45623</v>
      </c>
      <c r="J32" s="23">
        <v>45988</v>
      </c>
      <c r="K32" s="23" t="s">
        <v>85</v>
      </c>
      <c r="L32" s="5" t="str">
        <f t="shared" ca="1" si="0"/>
        <v>CADUCADO</v>
      </c>
      <c r="M32" s="5" t="s">
        <v>86</v>
      </c>
    </row>
    <row r="33" spans="2:13" x14ac:dyDescent="0.25">
      <c r="B33" s="5"/>
      <c r="C33" s="5" t="s">
        <v>158</v>
      </c>
      <c r="D33" s="5" t="s">
        <v>31</v>
      </c>
      <c r="E33" s="5" t="s">
        <v>159</v>
      </c>
      <c r="F33" s="18" t="s">
        <v>160</v>
      </c>
      <c r="G33" s="29"/>
      <c r="H33" s="5"/>
      <c r="I33" s="14"/>
      <c r="J33" s="5"/>
      <c r="K33" s="5"/>
      <c r="L33" s="12"/>
      <c r="M33" s="12"/>
    </row>
    <row r="34" spans="2:13" x14ac:dyDescent="0.25">
      <c r="B34" s="5"/>
      <c r="C34" s="5" t="s">
        <v>161</v>
      </c>
      <c r="D34" s="5" t="s">
        <v>31</v>
      </c>
      <c r="E34" s="5" t="s">
        <v>162</v>
      </c>
      <c r="F34" s="18" t="s">
        <v>163</v>
      </c>
      <c r="G34" s="5"/>
      <c r="H34" s="5" t="s">
        <v>164</v>
      </c>
      <c r="I34" s="14"/>
      <c r="J34" s="14"/>
      <c r="K34" s="5"/>
      <c r="L34" s="12"/>
      <c r="M34" s="12"/>
    </row>
    <row r="35" spans="2:13" x14ac:dyDescent="0.25">
      <c r="B35" s="12" t="s">
        <v>20</v>
      </c>
      <c r="C35" s="12" t="s">
        <v>165</v>
      </c>
      <c r="D35" s="12" t="s">
        <v>14</v>
      </c>
      <c r="E35" s="12" t="s">
        <v>166</v>
      </c>
      <c r="F35" s="22" t="s">
        <v>167</v>
      </c>
      <c r="G35" s="12" t="s">
        <v>168</v>
      </c>
      <c r="H35" s="12" t="s">
        <v>169</v>
      </c>
      <c r="I35" s="23">
        <v>45817</v>
      </c>
      <c r="J35" s="23">
        <v>46182</v>
      </c>
      <c r="K35" s="12"/>
      <c r="L35" s="21" t="s">
        <v>170</v>
      </c>
      <c r="M35" s="21" t="s">
        <v>171</v>
      </c>
    </row>
    <row r="36" spans="2:13" x14ac:dyDescent="0.25">
      <c r="I36" s="20"/>
    </row>
    <row r="37" spans="2:13" x14ac:dyDescent="0.25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2:13" x14ac:dyDescent="0.25">
      <c r="C38" s="7"/>
      <c r="G38" s="7"/>
      <c r="H38" s="8"/>
      <c r="I38" s="9"/>
      <c r="J38" s="9"/>
      <c r="K38" s="9"/>
      <c r="M38" s="10"/>
    </row>
    <row r="39" spans="2:13" x14ac:dyDescent="0.25">
      <c r="C39" s="7"/>
      <c r="G39" s="7"/>
    </row>
    <row r="40" spans="2:13" x14ac:dyDescent="0.25">
      <c r="C40" s="7"/>
      <c r="G40" s="7"/>
    </row>
    <row r="41" spans="2:13" x14ac:dyDescent="0.25">
      <c r="C41" s="7"/>
      <c r="G41" s="7"/>
    </row>
    <row r="42" spans="2:13" x14ac:dyDescent="0.25">
      <c r="C42" s="7"/>
      <c r="G42" s="7"/>
    </row>
    <row r="43" spans="2:13" x14ac:dyDescent="0.25">
      <c r="C43" s="7"/>
      <c r="G43" s="7"/>
    </row>
    <row r="44" spans="2:13" x14ac:dyDescent="0.25">
      <c r="C44" s="7"/>
      <c r="G44" s="7"/>
    </row>
    <row r="45" spans="2:13" x14ac:dyDescent="0.25">
      <c r="C45" s="7"/>
      <c r="G45" s="7"/>
    </row>
    <row r="46" spans="2:13" x14ac:dyDescent="0.25">
      <c r="C46" s="7"/>
      <c r="G46" s="7"/>
    </row>
    <row r="47" spans="2:13" ht="13.9" customHeight="1" x14ac:dyDescent="0.25">
      <c r="C47" s="7"/>
      <c r="G47" s="7"/>
    </row>
    <row r="48" spans="2:13" x14ac:dyDescent="0.25">
      <c r="C48" s="7"/>
      <c r="G48" s="7"/>
    </row>
    <row r="49" spans="3:7" x14ac:dyDescent="0.25">
      <c r="C49" s="7"/>
      <c r="G49" s="7"/>
    </row>
    <row r="50" spans="3:7" x14ac:dyDescent="0.25">
      <c r="C50" s="7"/>
      <c r="G50" s="7"/>
    </row>
    <row r="51" spans="3:7" x14ac:dyDescent="0.25">
      <c r="C51" s="7"/>
      <c r="G51" s="7"/>
    </row>
    <row r="52" spans="3:7" x14ac:dyDescent="0.25">
      <c r="C52" s="7"/>
      <c r="G52" s="7"/>
    </row>
    <row r="53" spans="3:7" x14ac:dyDescent="0.25">
      <c r="C53" s="7"/>
      <c r="G53" s="7"/>
    </row>
    <row r="54" spans="3:7" x14ac:dyDescent="0.25">
      <c r="C54" s="7"/>
      <c r="G54" s="7"/>
    </row>
    <row r="55" spans="3:7" x14ac:dyDescent="0.25">
      <c r="C55" s="7"/>
      <c r="G55" s="7"/>
    </row>
    <row r="56" spans="3:7" x14ac:dyDescent="0.25">
      <c r="C56" s="7"/>
      <c r="G56" s="7"/>
    </row>
    <row r="57" spans="3:7" x14ac:dyDescent="0.25">
      <c r="C57" s="7"/>
      <c r="G57" s="7"/>
    </row>
    <row r="58" spans="3:7" x14ac:dyDescent="0.25">
      <c r="C58" s="7"/>
      <c r="G58" s="7"/>
    </row>
    <row r="59" spans="3:7" x14ac:dyDescent="0.25">
      <c r="C59" s="7"/>
      <c r="F59" s="11"/>
      <c r="G59" s="7"/>
    </row>
    <row r="60" spans="3:7" x14ac:dyDescent="0.25">
      <c r="C60" s="7"/>
      <c r="G60" s="7"/>
    </row>
    <row r="61" spans="3:7" x14ac:dyDescent="0.25">
      <c r="C61" s="7"/>
      <c r="G61" s="7"/>
    </row>
    <row r="62" spans="3:7" x14ac:dyDescent="0.25">
      <c r="C62" s="7"/>
      <c r="G62" s="7"/>
    </row>
    <row r="63" spans="3:7" x14ac:dyDescent="0.25">
      <c r="C63" s="7"/>
      <c r="G63" s="7"/>
    </row>
    <row r="64" spans="3:7" x14ac:dyDescent="0.25">
      <c r="C64" s="7"/>
      <c r="G64" s="7"/>
    </row>
    <row r="65" spans="3:13" x14ac:dyDescent="0.25">
      <c r="C65" s="7"/>
      <c r="G65" s="7"/>
    </row>
    <row r="66" spans="3:13" x14ac:dyDescent="0.25">
      <c r="C66" s="7"/>
      <c r="G66" s="7"/>
    </row>
    <row r="67" spans="3:13" x14ac:dyDescent="0.25">
      <c r="C67" s="7"/>
      <c r="G67" s="7"/>
    </row>
    <row r="68" spans="3:13" x14ac:dyDescent="0.25">
      <c r="C68" s="7"/>
      <c r="G68" s="7"/>
    </row>
    <row r="69" spans="3:13" x14ac:dyDescent="0.25">
      <c r="C69" s="7"/>
      <c r="G69" s="7"/>
    </row>
    <row r="70" spans="3:13" x14ac:dyDescent="0.25">
      <c r="C70" s="7"/>
      <c r="G70" s="7"/>
      <c r="I70" s="9"/>
    </row>
    <row r="71" spans="3:13" x14ac:dyDescent="0.25">
      <c r="C71" s="7"/>
      <c r="G71" s="7"/>
      <c r="I71" s="9"/>
      <c r="J71" s="9"/>
      <c r="K71" s="9"/>
    </row>
    <row r="72" spans="3:13" x14ac:dyDescent="0.25">
      <c r="C72" s="7"/>
      <c r="G72" s="7"/>
      <c r="I72" s="9"/>
    </row>
    <row r="73" spans="3:13" x14ac:dyDescent="0.25">
      <c r="C73" s="7"/>
      <c r="G73" s="7"/>
      <c r="I73" s="9"/>
      <c r="J73" s="9"/>
      <c r="K73" s="9"/>
      <c r="M73" s="10"/>
    </row>
    <row r="74" spans="3:13" x14ac:dyDescent="0.25">
      <c r="C74" s="7"/>
      <c r="G74" s="7"/>
      <c r="I74" s="9"/>
      <c r="J74" s="9"/>
      <c r="K74" s="9"/>
      <c r="M74" s="10"/>
    </row>
    <row r="75" spans="3:13" x14ac:dyDescent="0.25">
      <c r="C75" s="7"/>
      <c r="G75" s="7"/>
      <c r="I75" s="9"/>
      <c r="J75" s="9"/>
      <c r="K75" s="9"/>
      <c r="M75" s="10"/>
    </row>
    <row r="76" spans="3:13" x14ac:dyDescent="0.25">
      <c r="C76" s="7"/>
      <c r="G76" s="7"/>
      <c r="I76" s="9"/>
      <c r="J76" s="9"/>
      <c r="K76" s="9"/>
    </row>
  </sheetData>
  <autoFilter ref="B3:L35" xr:uid="{C7586C0B-3B6B-4020-9A7A-B94560321214}"/>
  <phoneticPr fontId="2" type="noConversion"/>
  <conditionalFormatting sqref="D4:D35 D38:D76">
    <cfRule type="cellIs" dxfId="9" priority="15" operator="equal">
      <formula>"SAT"</formula>
    </cfRule>
    <cfRule type="cellIs" dxfId="8" priority="16" operator="equal">
      <formula>"PRODUCCION"</formula>
    </cfRule>
  </conditionalFormatting>
  <conditionalFormatting sqref="L4:L35">
    <cfRule type="cellIs" dxfId="7" priority="13" operator="equal">
      <formula>"CADUCADO"</formula>
    </cfRule>
    <cfRule type="cellIs" dxfId="6" priority="14" operator="equal">
      <formula>"CALIBRADO"</formula>
    </cfRule>
  </conditionalFormatting>
  <conditionalFormatting sqref="L38">
    <cfRule type="cellIs" dxfId="5" priority="11" operator="equal">
      <formula>"CADUCADO"</formula>
    </cfRule>
    <cfRule type="cellIs" dxfId="4" priority="12" operator="equal">
      <formula>"CALIBRADO"</formula>
    </cfRule>
  </conditionalFormatting>
  <conditionalFormatting sqref="L70:L76">
    <cfRule type="cellIs" dxfId="3" priority="1" operator="equal">
      <formula>"CADUCADO"</formula>
    </cfRule>
    <cfRule type="cellIs" dxfId="2" priority="2" operator="equal">
      <formula>"CALIBRADO"</formula>
    </cfRule>
  </conditionalFormatting>
  <dataValidations count="2">
    <dataValidation type="list" allowBlank="1" showInputMessage="1" showErrorMessage="1" sqref="D4:D35" xr:uid="{8D89912A-0DD1-42F2-B4E1-97D8DFE7492B}">
      <formula1>"PRODUCCION,SAT"</formula1>
    </dataValidation>
    <dataValidation type="list" allowBlank="1" showInputMessage="1" showErrorMessage="1" sqref="B27 B29 B33:B35 B25 B20:B22" xr:uid="{C01F65CB-DBD8-466B-AB39-5990D98E003B}">
      <formula1>"LOCKER, CUARTO INSTRUMENTACION 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2B102-BC95-4332-BF1C-7ADA9B78903F}">
  <dimension ref="B1:AG37"/>
  <sheetViews>
    <sheetView zoomScale="85" zoomScaleNormal="85" workbookViewId="0">
      <selection activeCell="N2" sqref="N2"/>
    </sheetView>
  </sheetViews>
  <sheetFormatPr baseColWidth="10" defaultColWidth="11.42578125" defaultRowHeight="15" x14ac:dyDescent="0.25"/>
  <cols>
    <col min="2" max="2" width="12.85546875" bestFit="1" customWidth="1"/>
    <col min="3" max="3" width="15.85546875" bestFit="1" customWidth="1"/>
    <col min="4" max="4" width="12.5703125" bestFit="1" customWidth="1"/>
    <col min="5" max="5" width="14.42578125" bestFit="1" customWidth="1"/>
    <col min="6" max="6" width="18" bestFit="1" customWidth="1"/>
    <col min="7" max="7" width="43.5703125" bestFit="1" customWidth="1"/>
    <col min="8" max="8" width="21" customWidth="1"/>
    <col min="9" max="12" width="10.42578125" bestFit="1" customWidth="1"/>
    <col min="13" max="13" width="10.5703125" bestFit="1" customWidth="1"/>
    <col min="14" max="15" width="10.42578125" bestFit="1" customWidth="1"/>
    <col min="16" max="16" width="11.42578125" customWidth="1"/>
    <col min="17" max="17" width="10.42578125" bestFit="1" customWidth="1"/>
    <col min="18" max="18" width="11.85546875" bestFit="1" customWidth="1"/>
    <col min="19" max="19" width="11.28515625" bestFit="1" customWidth="1"/>
    <col min="40" max="40" width="11.42578125" bestFit="1" customWidth="1"/>
  </cols>
  <sheetData>
    <row r="1" spans="2:33" ht="15.75" thickBot="1" x14ac:dyDescent="0.3"/>
    <row r="2" spans="2:33" ht="15.75" thickBot="1" x14ac:dyDescent="0.3">
      <c r="B2" s="41" t="s">
        <v>172</v>
      </c>
      <c r="C2" s="42" t="s">
        <v>173</v>
      </c>
    </row>
    <row r="3" spans="2:33" ht="15.75" thickBot="1" x14ac:dyDescent="0.3">
      <c r="B3" s="39" t="s">
        <v>174</v>
      </c>
      <c r="C3" s="40" t="s">
        <v>175</v>
      </c>
    </row>
    <row r="5" spans="2:33" x14ac:dyDescent="0.25">
      <c r="B5" s="38" t="s">
        <v>1</v>
      </c>
      <c r="C5" s="38" t="s">
        <v>2</v>
      </c>
      <c r="D5" s="13" t="s">
        <v>3</v>
      </c>
      <c r="E5" s="13" t="s">
        <v>4</v>
      </c>
      <c r="F5" s="13" t="s">
        <v>5</v>
      </c>
      <c r="G5" s="13" t="s">
        <v>6</v>
      </c>
      <c r="H5" s="31">
        <v>46063</v>
      </c>
      <c r="I5" s="31">
        <v>46064</v>
      </c>
      <c r="J5" s="31">
        <v>46065</v>
      </c>
      <c r="K5" s="31">
        <v>46066</v>
      </c>
      <c r="L5" s="31">
        <v>46067</v>
      </c>
      <c r="M5" s="31">
        <v>46068</v>
      </c>
      <c r="N5" s="31">
        <v>46069</v>
      </c>
      <c r="O5" s="31">
        <v>46070</v>
      </c>
      <c r="P5" s="31">
        <v>46071</v>
      </c>
      <c r="Q5" s="31">
        <v>46072</v>
      </c>
      <c r="R5" s="31">
        <v>46073</v>
      </c>
      <c r="S5" s="33">
        <v>46074</v>
      </c>
      <c r="T5" s="31">
        <v>46075</v>
      </c>
      <c r="U5" s="31">
        <v>46076</v>
      </c>
      <c r="V5" s="31">
        <v>46077</v>
      </c>
      <c r="W5" s="31">
        <v>46078</v>
      </c>
      <c r="X5" s="31">
        <v>46079</v>
      </c>
      <c r="Y5" s="31">
        <v>46080</v>
      </c>
      <c r="Z5" s="31">
        <v>46081</v>
      </c>
      <c r="AA5" s="31">
        <v>46082</v>
      </c>
      <c r="AB5" s="31">
        <v>46083</v>
      </c>
      <c r="AC5" s="31">
        <v>46084</v>
      </c>
      <c r="AD5" s="31">
        <v>46085</v>
      </c>
      <c r="AE5" s="31">
        <v>46086</v>
      </c>
      <c r="AF5" s="33">
        <v>46087</v>
      </c>
      <c r="AG5" s="31">
        <v>46088</v>
      </c>
    </row>
    <row r="6" spans="2:33" x14ac:dyDescent="0.25">
      <c r="B6" s="12" t="s">
        <v>13</v>
      </c>
      <c r="C6" s="12" t="s">
        <v>14</v>
      </c>
      <c r="D6" s="12" t="s">
        <v>15</v>
      </c>
      <c r="E6" s="22" t="s">
        <v>16</v>
      </c>
      <c r="F6" s="12">
        <v>2201660</v>
      </c>
      <c r="G6" s="12" t="s">
        <v>17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6"/>
      <c r="AG6" s="35"/>
    </row>
    <row r="7" spans="2:33" ht="30" x14ac:dyDescent="0.25">
      <c r="B7" s="12" t="s">
        <v>21</v>
      </c>
      <c r="C7" s="12" t="s">
        <v>14</v>
      </c>
      <c r="D7" s="12" t="s">
        <v>22</v>
      </c>
      <c r="E7" s="22" t="s">
        <v>23</v>
      </c>
      <c r="F7" s="12">
        <v>62826812</v>
      </c>
      <c r="G7" s="12" t="s">
        <v>24</v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4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6"/>
      <c r="AG7" s="35"/>
    </row>
    <row r="8" spans="2:33" x14ac:dyDescent="0.25">
      <c r="B8" s="12" t="s">
        <v>26</v>
      </c>
      <c r="C8" s="12" t="s">
        <v>14</v>
      </c>
      <c r="D8" s="12" t="s">
        <v>27</v>
      </c>
      <c r="E8" s="22" t="s">
        <v>28</v>
      </c>
      <c r="F8" s="12">
        <v>5718201</v>
      </c>
      <c r="G8" s="12" t="s">
        <v>17</v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4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6"/>
      <c r="AG8" s="35"/>
    </row>
    <row r="9" spans="2:33" x14ac:dyDescent="0.25">
      <c r="B9" s="12" t="s">
        <v>29</v>
      </c>
      <c r="C9" s="12" t="s">
        <v>14</v>
      </c>
      <c r="D9" s="12"/>
      <c r="E9" s="22" t="s">
        <v>16</v>
      </c>
      <c r="F9" s="12"/>
      <c r="G9" s="1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4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6"/>
      <c r="AG9" s="35"/>
    </row>
    <row r="10" spans="2:33" ht="90" x14ac:dyDescent="0.25">
      <c r="B10" s="12" t="s">
        <v>30</v>
      </c>
      <c r="C10" s="12" t="s">
        <v>31</v>
      </c>
      <c r="D10" s="12" t="s">
        <v>32</v>
      </c>
      <c r="E10" s="22" t="s">
        <v>33</v>
      </c>
      <c r="F10" s="12">
        <v>61186226</v>
      </c>
      <c r="G10" s="12" t="s">
        <v>34</v>
      </c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4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6"/>
      <c r="AG10" s="35"/>
    </row>
    <row r="11" spans="2:33" ht="90" x14ac:dyDescent="0.25">
      <c r="B11" s="12" t="s">
        <v>36</v>
      </c>
      <c r="C11" s="12" t="s">
        <v>31</v>
      </c>
      <c r="D11" s="12" t="s">
        <v>37</v>
      </c>
      <c r="E11" s="22" t="s">
        <v>33</v>
      </c>
      <c r="F11" s="12">
        <v>62370623</v>
      </c>
      <c r="G11" s="12" t="s">
        <v>34</v>
      </c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4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6"/>
      <c r="AG11" s="35"/>
    </row>
    <row r="12" spans="2:33" ht="30" x14ac:dyDescent="0.25">
      <c r="B12" s="12" t="s">
        <v>38</v>
      </c>
      <c r="C12" s="12" t="s">
        <v>14</v>
      </c>
      <c r="D12" s="12" t="s">
        <v>39</v>
      </c>
      <c r="E12" s="22" t="s">
        <v>40</v>
      </c>
      <c r="F12" s="12">
        <v>15549</v>
      </c>
      <c r="G12" s="12" t="s">
        <v>41</v>
      </c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4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6"/>
      <c r="AG12" s="35"/>
    </row>
    <row r="13" spans="2:33" ht="45" x14ac:dyDescent="0.25">
      <c r="B13" s="12" t="s">
        <v>43</v>
      </c>
      <c r="C13" s="12" t="s">
        <v>14</v>
      </c>
      <c r="D13" s="12" t="s">
        <v>44</v>
      </c>
      <c r="E13" s="22" t="s">
        <v>45</v>
      </c>
      <c r="F13" s="12" t="s">
        <v>46</v>
      </c>
      <c r="G13" s="12" t="s">
        <v>47</v>
      </c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4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6"/>
      <c r="AG13" s="35"/>
    </row>
    <row r="14" spans="2:33" ht="45" x14ac:dyDescent="0.25">
      <c r="B14" s="12" t="s">
        <v>51</v>
      </c>
      <c r="C14" s="12" t="s">
        <v>14</v>
      </c>
      <c r="D14" s="12" t="s">
        <v>52</v>
      </c>
      <c r="E14" s="22" t="s">
        <v>53</v>
      </c>
      <c r="F14" s="12">
        <v>102465739</v>
      </c>
      <c r="G14" s="12" t="s">
        <v>54</v>
      </c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4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6"/>
      <c r="AG14" s="35"/>
    </row>
    <row r="15" spans="2:33" ht="45" x14ac:dyDescent="0.25">
      <c r="B15" s="12" t="s">
        <v>56</v>
      </c>
      <c r="C15" s="12" t="s">
        <v>14</v>
      </c>
      <c r="D15" s="12" t="s">
        <v>57</v>
      </c>
      <c r="E15" s="22" t="s">
        <v>58</v>
      </c>
      <c r="F15" s="12" t="s">
        <v>59</v>
      </c>
      <c r="G15" s="12" t="s">
        <v>60</v>
      </c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4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6"/>
      <c r="AG15" s="35"/>
    </row>
    <row r="16" spans="2:33" ht="45" x14ac:dyDescent="0.25">
      <c r="B16" s="12" t="s">
        <v>62</v>
      </c>
      <c r="C16" s="12" t="s">
        <v>14</v>
      </c>
      <c r="D16" s="12" t="s">
        <v>63</v>
      </c>
      <c r="E16" s="22" t="s">
        <v>64</v>
      </c>
      <c r="F16" s="12" t="s">
        <v>65</v>
      </c>
      <c r="G16" s="12" t="s">
        <v>66</v>
      </c>
      <c r="H16" s="37" t="s">
        <v>176</v>
      </c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4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6"/>
      <c r="AG16" s="35"/>
    </row>
    <row r="17" spans="2:33" ht="30" x14ac:dyDescent="0.25">
      <c r="B17" s="12" t="s">
        <v>68</v>
      </c>
      <c r="C17" s="12" t="s">
        <v>14</v>
      </c>
      <c r="D17" s="12" t="s">
        <v>69</v>
      </c>
      <c r="E17" s="22" t="s">
        <v>70</v>
      </c>
      <c r="F17" s="12">
        <v>347608073</v>
      </c>
      <c r="G17" s="22" t="s">
        <v>71</v>
      </c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4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6"/>
      <c r="AG17" s="35"/>
    </row>
    <row r="18" spans="2:33" ht="45" x14ac:dyDescent="0.25">
      <c r="B18" s="12" t="s">
        <v>74</v>
      </c>
      <c r="C18" s="12" t="s">
        <v>14</v>
      </c>
      <c r="D18" s="12" t="s">
        <v>75</v>
      </c>
      <c r="E18" s="22" t="s">
        <v>76</v>
      </c>
      <c r="F18" s="12" t="s">
        <v>77</v>
      </c>
      <c r="G18" s="12" t="s">
        <v>78</v>
      </c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4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6"/>
      <c r="AG18" s="35"/>
    </row>
    <row r="19" spans="2:33" ht="60" x14ac:dyDescent="0.25">
      <c r="B19" s="12" t="s">
        <v>81</v>
      </c>
      <c r="C19" s="12" t="s">
        <v>14</v>
      </c>
      <c r="D19" s="12" t="s">
        <v>82</v>
      </c>
      <c r="E19" s="22" t="s">
        <v>83</v>
      </c>
      <c r="F19" s="12">
        <v>22120786</v>
      </c>
      <c r="G19" s="12" t="s">
        <v>84</v>
      </c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4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6"/>
      <c r="AG19" s="35"/>
    </row>
    <row r="20" spans="2:33" ht="30" x14ac:dyDescent="0.25">
      <c r="B20" s="12" t="s">
        <v>87</v>
      </c>
      <c r="C20" s="12" t="s">
        <v>31</v>
      </c>
      <c r="D20" s="12" t="s">
        <v>88</v>
      </c>
      <c r="E20" s="22" t="s">
        <v>89</v>
      </c>
      <c r="F20" s="12">
        <v>62813457</v>
      </c>
      <c r="G20" s="12" t="s">
        <v>24</v>
      </c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4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6"/>
      <c r="AG20" s="35"/>
    </row>
    <row r="21" spans="2:33" ht="45" x14ac:dyDescent="0.25">
      <c r="B21" s="12" t="s">
        <v>91</v>
      </c>
      <c r="C21" s="12" t="s">
        <v>31</v>
      </c>
      <c r="D21" s="12" t="s">
        <v>92</v>
      </c>
      <c r="E21" s="22" t="s">
        <v>93</v>
      </c>
      <c r="F21" s="12" t="s">
        <v>94</v>
      </c>
      <c r="G21" s="12" t="s">
        <v>95</v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4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6"/>
      <c r="AG21" s="35"/>
    </row>
    <row r="22" spans="2:33" ht="30" x14ac:dyDescent="0.25">
      <c r="B22" s="12" t="s">
        <v>97</v>
      </c>
      <c r="C22" s="12" t="s">
        <v>14</v>
      </c>
      <c r="D22" s="12" t="s">
        <v>98</v>
      </c>
      <c r="E22" s="22" t="s">
        <v>99</v>
      </c>
      <c r="F22" s="12">
        <v>2841046423</v>
      </c>
      <c r="G22" s="12" t="s">
        <v>100</v>
      </c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4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6"/>
      <c r="AG22" s="35"/>
    </row>
    <row r="23" spans="2:33" ht="45" x14ac:dyDescent="0.25">
      <c r="B23" s="12" t="s">
        <v>102</v>
      </c>
      <c r="C23" s="12" t="s">
        <v>31</v>
      </c>
      <c r="D23" s="12" t="s">
        <v>103</v>
      </c>
      <c r="E23" s="22" t="s">
        <v>104</v>
      </c>
      <c r="F23" s="12">
        <v>45174428</v>
      </c>
      <c r="G23" s="12" t="s">
        <v>105</v>
      </c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4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6"/>
      <c r="AG23" s="35"/>
    </row>
    <row r="24" spans="2:33" ht="30" x14ac:dyDescent="0.25">
      <c r="B24" s="12" t="s">
        <v>107</v>
      </c>
      <c r="C24" s="12" t="s">
        <v>14</v>
      </c>
      <c r="D24" s="12" t="s">
        <v>108</v>
      </c>
      <c r="E24" s="22" t="s">
        <v>109</v>
      </c>
      <c r="F24" s="12">
        <v>5630885</v>
      </c>
      <c r="G24" s="22" t="s">
        <v>110</v>
      </c>
      <c r="H24" s="37" t="s">
        <v>112</v>
      </c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4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6"/>
      <c r="AG24" s="35"/>
    </row>
    <row r="25" spans="2:33" ht="45" x14ac:dyDescent="0.25">
      <c r="B25" s="12" t="s">
        <v>113</v>
      </c>
      <c r="C25" s="12" t="s">
        <v>14</v>
      </c>
      <c r="D25" s="12" t="s">
        <v>114</v>
      </c>
      <c r="E25" s="22" t="s">
        <v>115</v>
      </c>
      <c r="F25" s="26" t="s">
        <v>116</v>
      </c>
      <c r="G25" s="12" t="s">
        <v>95</v>
      </c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4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6"/>
      <c r="AG25" s="35"/>
    </row>
    <row r="26" spans="2:33" ht="45" x14ac:dyDescent="0.25">
      <c r="B26" s="12" t="s">
        <v>118</v>
      </c>
      <c r="C26" s="12" t="s">
        <v>14</v>
      </c>
      <c r="D26" s="12" t="s">
        <v>119</v>
      </c>
      <c r="E26" s="22" t="s">
        <v>115</v>
      </c>
      <c r="F26" s="12" t="s">
        <v>120</v>
      </c>
      <c r="G26" s="22" t="s">
        <v>95</v>
      </c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4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6"/>
      <c r="AG26" s="35"/>
    </row>
    <row r="27" spans="2:33" ht="90" x14ac:dyDescent="0.25">
      <c r="B27" s="12" t="s">
        <v>121</v>
      </c>
      <c r="C27" s="12" t="s">
        <v>14</v>
      </c>
      <c r="D27" s="12" t="s">
        <v>122</v>
      </c>
      <c r="E27" s="22" t="s">
        <v>33</v>
      </c>
      <c r="F27" s="12">
        <v>63862113</v>
      </c>
      <c r="G27" s="22" t="s">
        <v>34</v>
      </c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4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6"/>
      <c r="AG27" s="35"/>
    </row>
    <row r="28" spans="2:33" ht="30" x14ac:dyDescent="0.25">
      <c r="B28" s="26" t="s">
        <v>124</v>
      </c>
      <c r="C28" s="26" t="s">
        <v>14</v>
      </c>
      <c r="D28" s="26" t="s">
        <v>125</v>
      </c>
      <c r="E28" s="27" t="s">
        <v>126</v>
      </c>
      <c r="F28" s="26" t="s">
        <v>127</v>
      </c>
      <c r="G28" s="26" t="s">
        <v>128</v>
      </c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4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6"/>
      <c r="AG28" s="35"/>
    </row>
    <row r="29" spans="2:33" ht="60" x14ac:dyDescent="0.25">
      <c r="B29" s="12" t="s">
        <v>131</v>
      </c>
      <c r="C29" s="12" t="s">
        <v>14</v>
      </c>
      <c r="D29" s="12" t="s">
        <v>132</v>
      </c>
      <c r="E29" s="22" t="s">
        <v>133</v>
      </c>
      <c r="F29" s="12">
        <v>5605128</v>
      </c>
      <c r="G29" s="22" t="s">
        <v>134</v>
      </c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4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6"/>
      <c r="AG29" s="35"/>
    </row>
    <row r="30" spans="2:33" ht="30" x14ac:dyDescent="0.25">
      <c r="B30" s="12" t="s">
        <v>136</v>
      </c>
      <c r="C30" s="12" t="s">
        <v>31</v>
      </c>
      <c r="D30" s="12" t="s">
        <v>137</v>
      </c>
      <c r="E30" s="22" t="s">
        <v>138</v>
      </c>
      <c r="F30" s="12">
        <v>62826812</v>
      </c>
      <c r="G30" s="12" t="s">
        <v>24</v>
      </c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4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6"/>
      <c r="AG30" s="35"/>
    </row>
    <row r="31" spans="2:33" ht="30" x14ac:dyDescent="0.25">
      <c r="B31" s="12" t="s">
        <v>140</v>
      </c>
      <c r="C31" s="12" t="s">
        <v>14</v>
      </c>
      <c r="D31" s="12" t="s">
        <v>141</v>
      </c>
      <c r="E31" s="22" t="s">
        <v>142</v>
      </c>
      <c r="F31" s="12" t="s">
        <v>143</v>
      </c>
      <c r="G31" s="12" t="s">
        <v>144</v>
      </c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4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6"/>
      <c r="AG31" s="35"/>
    </row>
    <row r="32" spans="2:33" x14ac:dyDescent="0.25">
      <c r="B32" s="26" t="s">
        <v>146</v>
      </c>
      <c r="C32" s="26" t="s">
        <v>14</v>
      </c>
      <c r="D32" s="26" t="s">
        <v>147</v>
      </c>
      <c r="E32" s="27" t="s">
        <v>148</v>
      </c>
      <c r="F32" s="26">
        <v>230723323</v>
      </c>
      <c r="G32" s="27" t="s">
        <v>149</v>
      </c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4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6"/>
      <c r="AG32" s="35"/>
    </row>
    <row r="33" spans="2:33" ht="45" x14ac:dyDescent="0.25">
      <c r="B33" s="12" t="s">
        <v>150</v>
      </c>
      <c r="C33" s="12" t="s">
        <v>14</v>
      </c>
      <c r="D33" s="12" t="s">
        <v>151</v>
      </c>
      <c r="E33" s="22" t="s">
        <v>152</v>
      </c>
      <c r="F33" s="12">
        <v>2559389</v>
      </c>
      <c r="G33" s="12" t="s">
        <v>153</v>
      </c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4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6"/>
      <c r="AG33" s="35"/>
    </row>
    <row r="34" spans="2:33" ht="60" x14ac:dyDescent="0.25">
      <c r="B34" s="12" t="s">
        <v>155</v>
      </c>
      <c r="C34" s="12" t="s">
        <v>14</v>
      </c>
      <c r="D34" s="12" t="s">
        <v>156</v>
      </c>
      <c r="E34" s="22" t="s">
        <v>83</v>
      </c>
      <c r="F34" s="12">
        <v>23200551</v>
      </c>
      <c r="G34" s="12" t="s">
        <v>157</v>
      </c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4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6"/>
      <c r="AG34" s="35"/>
    </row>
    <row r="35" spans="2:33" ht="30" x14ac:dyDescent="0.25">
      <c r="B35" s="5" t="s">
        <v>158</v>
      </c>
      <c r="C35" s="5" t="s">
        <v>31</v>
      </c>
      <c r="D35" s="5" t="s">
        <v>177</v>
      </c>
      <c r="E35" s="18" t="s">
        <v>163</v>
      </c>
      <c r="F35" s="43"/>
      <c r="G35" s="5" t="s">
        <v>164</v>
      </c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4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6"/>
      <c r="AG35" s="35"/>
    </row>
    <row r="36" spans="2:33" x14ac:dyDescent="0.25">
      <c r="B36" s="5" t="s">
        <v>161</v>
      </c>
      <c r="C36" s="5" t="s">
        <v>31</v>
      </c>
      <c r="D36" s="5" t="s">
        <v>162</v>
      </c>
      <c r="E36" s="18" t="s">
        <v>160</v>
      </c>
      <c r="F36" s="5"/>
      <c r="G36" s="5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4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6"/>
      <c r="AG36" s="35"/>
    </row>
    <row r="37" spans="2:33" ht="30" x14ac:dyDescent="0.25">
      <c r="B37" s="12" t="s">
        <v>165</v>
      </c>
      <c r="C37" s="12" t="s">
        <v>14</v>
      </c>
      <c r="D37" s="12" t="s">
        <v>166</v>
      </c>
      <c r="E37" s="22" t="s">
        <v>167</v>
      </c>
      <c r="F37" s="12" t="s">
        <v>168</v>
      </c>
      <c r="G37" s="12" t="s">
        <v>169</v>
      </c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4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6"/>
      <c r="AG37" s="35"/>
    </row>
  </sheetData>
  <conditionalFormatting sqref="C6:C37">
    <cfRule type="cellIs" dxfId="1" priority="1" operator="equal">
      <formula>"SAT"</formula>
    </cfRule>
    <cfRule type="cellIs" dxfId="0" priority="2" operator="equal">
      <formula>"PRODUCCION"</formula>
    </cfRule>
  </conditionalFormatting>
  <dataValidations count="1">
    <dataValidation type="list" allowBlank="1" showInputMessage="1" showErrorMessage="1" sqref="C6:C37" xr:uid="{CDF55015-575E-4CE5-82D4-48E6DA4CD005}">
      <formula1>"PRODUCCION,SAT"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1759-16FA-4497-B287-40DA091768DF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REGISTRO DE USO 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Otero - GHI Smart Furnaces</dc:creator>
  <cp:keywords/>
  <dc:description/>
  <cp:lastModifiedBy>Iñigo Alonso - GHI Smart Furnaces</cp:lastModifiedBy>
  <cp:revision/>
  <dcterms:created xsi:type="dcterms:W3CDTF">2025-05-29T05:41:53Z</dcterms:created>
  <dcterms:modified xsi:type="dcterms:W3CDTF">2026-02-25T13:26:29Z</dcterms:modified>
  <cp:category/>
  <cp:contentStatus/>
</cp:coreProperties>
</file>